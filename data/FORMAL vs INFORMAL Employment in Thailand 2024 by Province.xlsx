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Sheet1!$A$2:$F$79</definedName>
  </definedNames>
  <calcPr/>
</workbook>
</file>

<file path=xl/sharedStrings.xml><?xml version="1.0" encoding="utf-8"?>
<sst xmlns="http://schemas.openxmlformats.org/spreadsheetml/2006/main" count="84" uniqueCount="84">
  <si>
    <t>FORMAL vs INFORMAL Employment in Thailand (2024) by Province</t>
  </si>
  <si>
    <t>Province</t>
  </si>
  <si>
    <t>Formal Workforce</t>
  </si>
  <si>
    <t>Informal Workforce</t>
  </si>
  <si>
    <t>Total Workforce</t>
  </si>
  <si>
    <t>Informal Workforce % of Total Workforce</t>
  </si>
  <si>
    <t>Informal Workforce &gt; Formal Workforce</t>
  </si>
  <si>
    <t>Chiang Rai</t>
  </si>
  <si>
    <t>Mae Hong Son</t>
  </si>
  <si>
    <t>Sakon Nakhon</t>
  </si>
  <si>
    <t>Nan</t>
  </si>
  <si>
    <t>Bueng Kan</t>
  </si>
  <si>
    <t>Yasothon</t>
  </si>
  <si>
    <t>Si Sa Ket</t>
  </si>
  <si>
    <t>Loei</t>
  </si>
  <si>
    <t>Kalasin</t>
  </si>
  <si>
    <t>Mukdahan</t>
  </si>
  <si>
    <t>Nakhon Phanom</t>
  </si>
  <si>
    <t>Buri Ram</t>
  </si>
  <si>
    <t>Chaiyaphum</t>
  </si>
  <si>
    <t>Ubon Ratchathani</t>
  </si>
  <si>
    <t>Kamphaeng Phet</t>
  </si>
  <si>
    <t>Amnat Charoen</t>
  </si>
  <si>
    <t>Nong Bua Lam Phu</t>
  </si>
  <si>
    <t>Udon Thani</t>
  </si>
  <si>
    <t>Maha Sarakham</t>
  </si>
  <si>
    <t>Roi Et</t>
  </si>
  <si>
    <t>Yala</t>
  </si>
  <si>
    <t>Khon Kaen</t>
  </si>
  <si>
    <t>Uthai Thani</t>
  </si>
  <si>
    <t>Sukhothai</t>
  </si>
  <si>
    <t>Phichit</t>
  </si>
  <si>
    <t>Nong Khai</t>
  </si>
  <si>
    <t>Surin</t>
  </si>
  <si>
    <t>Phitsanulok</t>
  </si>
  <si>
    <t>Tak</t>
  </si>
  <si>
    <t>Uttaradit</t>
  </si>
  <si>
    <t>Phatthalung</t>
  </si>
  <si>
    <t>Nakhon Sawan</t>
  </si>
  <si>
    <t>Chumphon</t>
  </si>
  <si>
    <t>Suphan Buri</t>
  </si>
  <si>
    <t>Nakhon Si Thammarat</t>
  </si>
  <si>
    <t>Phayao</t>
  </si>
  <si>
    <t>Sa Kaeo</t>
  </si>
  <si>
    <t>Chanthaburi</t>
  </si>
  <si>
    <t>Phetchabun</t>
  </si>
  <si>
    <t>Trang</t>
  </si>
  <si>
    <t>Satun</t>
  </si>
  <si>
    <t>Ranong</t>
  </si>
  <si>
    <t>Lamphun</t>
  </si>
  <si>
    <t>Chiang Mai</t>
  </si>
  <si>
    <t>Krabi</t>
  </si>
  <si>
    <t>Chai Nat</t>
  </si>
  <si>
    <t>Surat Thani</t>
  </si>
  <si>
    <t>Phrae</t>
  </si>
  <si>
    <t>Nakhon Ratchasima</t>
  </si>
  <si>
    <t>Kanchanaburi</t>
  </si>
  <si>
    <t>Trat</t>
  </si>
  <si>
    <t>Lampang</t>
  </si>
  <si>
    <t>Phetchaburi</t>
  </si>
  <si>
    <t>Lop Buri</t>
  </si>
  <si>
    <t>Songkhla</t>
  </si>
  <si>
    <t>Phangnga</t>
  </si>
  <si>
    <t>Ratchaburi</t>
  </si>
  <si>
    <t>Prachuap Khiri Khan</t>
  </si>
  <si>
    <t>Samut Songkhram</t>
  </si>
  <si>
    <t>Ang Thong</t>
  </si>
  <si>
    <t>Pattani</t>
  </si>
  <si>
    <t>Nakhon Nayok</t>
  </si>
  <si>
    <t>Sing Buri</t>
  </si>
  <si>
    <t>Narathiwat</t>
  </si>
  <si>
    <t>Nakhon Pathom</t>
  </si>
  <si>
    <t>Saraburi</t>
  </si>
  <si>
    <t>Prachin Buri</t>
  </si>
  <si>
    <t>Chachoengsao</t>
  </si>
  <si>
    <t>Phuket</t>
  </si>
  <si>
    <t>Rayong</t>
  </si>
  <si>
    <t>Chon Buri</t>
  </si>
  <si>
    <t>Phra Nakhon Si Ayutthaya</t>
  </si>
  <si>
    <t>Pathum Thani</t>
  </si>
  <si>
    <t>Bangkok Metropolis</t>
  </si>
  <si>
    <t>Nonthaburi</t>
  </si>
  <si>
    <t>Samut Sakhon</t>
  </si>
  <si>
    <t>Samut Prakan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</si>
</sst>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2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14.0"/>
    <col customWidth="1" min="3" max="3" width="15.0"/>
    <col customWidth="1" min="5" max="5" width="20.5"/>
    <col customWidth="1" min="6" max="6" width="21.0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>
      <c r="A3" s="4" t="s">
        <v>7</v>
      </c>
      <c r="B3" s="5">
        <v>80855.0</v>
      </c>
      <c r="C3" s="5">
        <v>507372.0</v>
      </c>
      <c r="D3" s="5">
        <f t="shared" ref="D3:D79" si="1">(B3+C3)</f>
        <v>588227</v>
      </c>
      <c r="E3" s="6">
        <f t="shared" ref="E3:E79" si="2">(C3/D3)*100</f>
        <v>86.25445619</v>
      </c>
      <c r="F3" s="4" t="b">
        <f t="shared" ref="F3:F79" si="3">C3&gt;B3</f>
        <v>1</v>
      </c>
    </row>
    <row r="4">
      <c r="A4" s="4" t="s">
        <v>8</v>
      </c>
      <c r="B4" s="5">
        <v>21112.0</v>
      </c>
      <c r="C4" s="5">
        <v>121348.0</v>
      </c>
      <c r="D4" s="5">
        <f t="shared" si="1"/>
        <v>142460</v>
      </c>
      <c r="E4" s="6">
        <f t="shared" si="2"/>
        <v>85.18040152</v>
      </c>
      <c r="F4" s="4" t="b">
        <f t="shared" si="3"/>
        <v>1</v>
      </c>
    </row>
    <row r="5">
      <c r="A5" s="4" t="s">
        <v>9</v>
      </c>
      <c r="B5" s="5">
        <v>66590.0</v>
      </c>
      <c r="C5" s="5">
        <v>347529.0</v>
      </c>
      <c r="D5" s="5">
        <f t="shared" si="1"/>
        <v>414119</v>
      </c>
      <c r="E5" s="6">
        <f t="shared" si="2"/>
        <v>83.92008094</v>
      </c>
      <c r="F5" s="4" t="b">
        <f t="shared" si="3"/>
        <v>1</v>
      </c>
    </row>
    <row r="6">
      <c r="A6" s="4" t="s">
        <v>10</v>
      </c>
      <c r="B6" s="5">
        <v>42730.0</v>
      </c>
      <c r="C6" s="5">
        <v>206253.0</v>
      </c>
      <c r="D6" s="5">
        <f t="shared" si="1"/>
        <v>248983</v>
      </c>
      <c r="E6" s="6">
        <f t="shared" si="2"/>
        <v>82.83818574</v>
      </c>
      <c r="F6" s="4" t="b">
        <f t="shared" si="3"/>
        <v>1</v>
      </c>
    </row>
    <row r="7">
      <c r="A7" s="4" t="s">
        <v>11</v>
      </c>
      <c r="B7" s="5">
        <v>31679.0</v>
      </c>
      <c r="C7" s="5">
        <v>146685.0</v>
      </c>
      <c r="D7" s="5">
        <f t="shared" si="1"/>
        <v>178364</v>
      </c>
      <c r="E7" s="6">
        <f t="shared" si="2"/>
        <v>82.23912897</v>
      </c>
      <c r="F7" s="4" t="b">
        <f t="shared" si="3"/>
        <v>1</v>
      </c>
    </row>
    <row r="8">
      <c r="A8" s="4" t="s">
        <v>12</v>
      </c>
      <c r="B8" s="5">
        <v>51436.0</v>
      </c>
      <c r="C8" s="5">
        <v>223236.0</v>
      </c>
      <c r="D8" s="5">
        <f t="shared" si="1"/>
        <v>274672</v>
      </c>
      <c r="E8" s="6">
        <f t="shared" si="2"/>
        <v>81.27366459</v>
      </c>
      <c r="F8" s="4" t="b">
        <f t="shared" si="3"/>
        <v>1</v>
      </c>
    </row>
    <row r="9">
      <c r="A9" s="4" t="s">
        <v>13</v>
      </c>
      <c r="B9" s="5">
        <v>107667.0</v>
      </c>
      <c r="C9" s="5">
        <v>466021.0</v>
      </c>
      <c r="D9" s="5">
        <f t="shared" si="1"/>
        <v>573688</v>
      </c>
      <c r="E9" s="6">
        <f t="shared" si="2"/>
        <v>81.23248177</v>
      </c>
      <c r="F9" s="4" t="b">
        <f t="shared" si="3"/>
        <v>1</v>
      </c>
    </row>
    <row r="10">
      <c r="A10" s="4" t="s">
        <v>14</v>
      </c>
      <c r="B10" s="5">
        <v>53806.0</v>
      </c>
      <c r="C10" s="5">
        <v>218405.0</v>
      </c>
      <c r="D10" s="5">
        <f t="shared" si="1"/>
        <v>272211</v>
      </c>
      <c r="E10" s="6">
        <f t="shared" si="2"/>
        <v>80.23371576</v>
      </c>
      <c r="F10" s="4" t="b">
        <f t="shared" si="3"/>
        <v>1</v>
      </c>
    </row>
    <row r="11">
      <c r="A11" s="4" t="s">
        <v>15</v>
      </c>
      <c r="B11" s="5">
        <v>76691.0</v>
      </c>
      <c r="C11" s="5">
        <v>310355.0</v>
      </c>
      <c r="D11" s="5">
        <f t="shared" si="1"/>
        <v>387046</v>
      </c>
      <c r="E11" s="6">
        <f t="shared" si="2"/>
        <v>80.18555934</v>
      </c>
      <c r="F11" s="4" t="b">
        <f t="shared" si="3"/>
        <v>1</v>
      </c>
    </row>
    <row r="12">
      <c r="A12" s="4" t="s">
        <v>16</v>
      </c>
      <c r="B12" s="5">
        <v>48991.0</v>
      </c>
      <c r="C12" s="5">
        <v>192648.0</v>
      </c>
      <c r="D12" s="5">
        <f t="shared" si="1"/>
        <v>241639</v>
      </c>
      <c r="E12" s="6">
        <f t="shared" si="2"/>
        <v>79.72554099</v>
      </c>
      <c r="F12" s="4" t="b">
        <f t="shared" si="3"/>
        <v>1</v>
      </c>
    </row>
    <row r="13">
      <c r="A13" s="4" t="s">
        <v>17</v>
      </c>
      <c r="B13" s="5">
        <v>57567.0</v>
      </c>
      <c r="C13" s="5">
        <v>210723.0</v>
      </c>
      <c r="D13" s="5">
        <f t="shared" si="1"/>
        <v>268290</v>
      </c>
      <c r="E13" s="6">
        <f t="shared" si="2"/>
        <v>78.54299452</v>
      </c>
      <c r="F13" s="4" t="b">
        <f t="shared" si="3"/>
        <v>1</v>
      </c>
    </row>
    <row r="14">
      <c r="A14" s="4" t="s">
        <v>18</v>
      </c>
      <c r="B14" s="5">
        <v>137232.0</v>
      </c>
      <c r="C14" s="5">
        <v>501559.0</v>
      </c>
      <c r="D14" s="5">
        <f t="shared" si="1"/>
        <v>638791</v>
      </c>
      <c r="E14" s="6">
        <f t="shared" si="2"/>
        <v>78.51691711</v>
      </c>
      <c r="F14" s="4" t="b">
        <f t="shared" si="3"/>
        <v>1</v>
      </c>
    </row>
    <row r="15">
      <c r="A15" s="4" t="s">
        <v>19</v>
      </c>
      <c r="B15" s="5">
        <v>105723.0</v>
      </c>
      <c r="C15" s="5">
        <v>375995.0</v>
      </c>
      <c r="D15" s="5">
        <f t="shared" si="1"/>
        <v>481718</v>
      </c>
      <c r="E15" s="6">
        <f t="shared" si="2"/>
        <v>78.05292723</v>
      </c>
      <c r="F15" s="4" t="b">
        <f t="shared" si="3"/>
        <v>1</v>
      </c>
    </row>
    <row r="16">
      <c r="A16" s="4" t="s">
        <v>20</v>
      </c>
      <c r="B16" s="5">
        <v>194830.0</v>
      </c>
      <c r="C16" s="5">
        <v>686504.0</v>
      </c>
      <c r="D16" s="5">
        <f t="shared" si="1"/>
        <v>881334</v>
      </c>
      <c r="E16" s="6">
        <f t="shared" si="2"/>
        <v>77.89373836</v>
      </c>
      <c r="F16" s="4" t="b">
        <f t="shared" si="3"/>
        <v>1</v>
      </c>
    </row>
    <row r="17">
      <c r="A17" s="4" t="s">
        <v>21</v>
      </c>
      <c r="B17" s="5">
        <v>97198.0</v>
      </c>
      <c r="C17" s="5">
        <v>342454.0</v>
      </c>
      <c r="D17" s="5">
        <f t="shared" si="1"/>
        <v>439652</v>
      </c>
      <c r="E17" s="6">
        <f t="shared" si="2"/>
        <v>77.89206008</v>
      </c>
      <c r="F17" s="4" t="b">
        <f t="shared" si="3"/>
        <v>1</v>
      </c>
    </row>
    <row r="18">
      <c r="A18" s="4" t="s">
        <v>22</v>
      </c>
      <c r="B18" s="5">
        <v>33505.0</v>
      </c>
      <c r="C18" s="5">
        <v>116571.0</v>
      </c>
      <c r="D18" s="5">
        <f t="shared" si="1"/>
        <v>150076</v>
      </c>
      <c r="E18" s="6">
        <f t="shared" si="2"/>
        <v>77.67464485</v>
      </c>
      <c r="F18" s="4" t="b">
        <f t="shared" si="3"/>
        <v>1</v>
      </c>
    </row>
    <row r="19">
      <c r="A19" s="4" t="s">
        <v>23</v>
      </c>
      <c r="B19" s="5">
        <v>48707.0</v>
      </c>
      <c r="C19" s="5">
        <v>162467.0</v>
      </c>
      <c r="D19" s="5">
        <f t="shared" si="1"/>
        <v>211174</v>
      </c>
      <c r="E19" s="6">
        <f t="shared" si="2"/>
        <v>76.93513406</v>
      </c>
      <c r="F19" s="4" t="b">
        <f t="shared" si="3"/>
        <v>1</v>
      </c>
    </row>
    <row r="20">
      <c r="A20" s="4" t="s">
        <v>24</v>
      </c>
      <c r="B20" s="5">
        <v>151836.0</v>
      </c>
      <c r="C20" s="5">
        <v>505900.0</v>
      </c>
      <c r="D20" s="5">
        <f t="shared" si="1"/>
        <v>657736</v>
      </c>
      <c r="E20" s="6">
        <f t="shared" si="2"/>
        <v>76.91535814</v>
      </c>
      <c r="F20" s="4" t="b">
        <f t="shared" si="3"/>
        <v>1</v>
      </c>
    </row>
    <row r="21">
      <c r="A21" s="4" t="s">
        <v>25</v>
      </c>
      <c r="B21" s="5">
        <v>97012.0</v>
      </c>
      <c r="C21" s="5">
        <v>322339.0</v>
      </c>
      <c r="D21" s="5">
        <f t="shared" si="1"/>
        <v>419351</v>
      </c>
      <c r="E21" s="6">
        <f t="shared" si="2"/>
        <v>76.86615747</v>
      </c>
      <c r="F21" s="4" t="b">
        <f t="shared" si="3"/>
        <v>1</v>
      </c>
    </row>
    <row r="22">
      <c r="A22" s="4" t="s">
        <v>26</v>
      </c>
      <c r="B22" s="5">
        <v>130563.0</v>
      </c>
      <c r="C22" s="5">
        <v>429910.0</v>
      </c>
      <c r="D22" s="5">
        <f t="shared" si="1"/>
        <v>560473</v>
      </c>
      <c r="E22" s="6">
        <f t="shared" si="2"/>
        <v>76.70485465</v>
      </c>
      <c r="F22" s="4" t="b">
        <f t="shared" si="3"/>
        <v>1</v>
      </c>
    </row>
    <row r="23">
      <c r="A23" s="4" t="s">
        <v>27</v>
      </c>
      <c r="B23" s="5">
        <v>63349.0</v>
      </c>
      <c r="C23" s="5">
        <v>198150.0</v>
      </c>
      <c r="D23" s="5">
        <f t="shared" si="1"/>
        <v>261499</v>
      </c>
      <c r="E23" s="6">
        <f t="shared" si="2"/>
        <v>75.77466835</v>
      </c>
      <c r="F23" s="4" t="b">
        <f t="shared" si="3"/>
        <v>1</v>
      </c>
    </row>
    <row r="24">
      <c r="A24" s="4" t="s">
        <v>28</v>
      </c>
      <c r="B24" s="5">
        <v>231166.0</v>
      </c>
      <c r="C24" s="5">
        <v>711848.0</v>
      </c>
      <c r="D24" s="5">
        <f t="shared" si="1"/>
        <v>943014</v>
      </c>
      <c r="E24" s="6">
        <f t="shared" si="2"/>
        <v>75.4864721</v>
      </c>
      <c r="F24" s="4" t="b">
        <f t="shared" si="3"/>
        <v>1</v>
      </c>
    </row>
    <row r="25">
      <c r="A25" s="4" t="s">
        <v>29</v>
      </c>
      <c r="B25" s="5">
        <v>37869.0</v>
      </c>
      <c r="C25" s="5">
        <v>109926.0</v>
      </c>
      <c r="D25" s="5">
        <f t="shared" si="1"/>
        <v>147795</v>
      </c>
      <c r="E25" s="6">
        <f t="shared" si="2"/>
        <v>74.377347</v>
      </c>
      <c r="F25" s="4" t="b">
        <f t="shared" si="3"/>
        <v>1</v>
      </c>
    </row>
    <row r="26">
      <c r="A26" s="4" t="s">
        <v>30</v>
      </c>
      <c r="B26" s="5">
        <v>95588.0</v>
      </c>
      <c r="C26" s="5">
        <v>255113.0</v>
      </c>
      <c r="D26" s="5">
        <f t="shared" si="1"/>
        <v>350701</v>
      </c>
      <c r="E26" s="6">
        <f t="shared" si="2"/>
        <v>72.74373327</v>
      </c>
      <c r="F26" s="4" t="b">
        <f t="shared" si="3"/>
        <v>1</v>
      </c>
    </row>
    <row r="27">
      <c r="A27" s="4" t="s">
        <v>31</v>
      </c>
      <c r="B27" s="5">
        <v>76274.0</v>
      </c>
      <c r="C27" s="5">
        <v>201029.0</v>
      </c>
      <c r="D27" s="5">
        <f t="shared" si="1"/>
        <v>277303</v>
      </c>
      <c r="E27" s="6">
        <f t="shared" si="2"/>
        <v>72.49434734</v>
      </c>
      <c r="F27" s="4" t="b">
        <f t="shared" si="3"/>
        <v>1</v>
      </c>
    </row>
    <row r="28">
      <c r="A28" s="4" t="s">
        <v>32</v>
      </c>
      <c r="B28" s="5">
        <v>63088.0</v>
      </c>
      <c r="C28" s="5">
        <v>144666.0</v>
      </c>
      <c r="D28" s="5">
        <f t="shared" si="1"/>
        <v>207754</v>
      </c>
      <c r="E28" s="6">
        <f t="shared" si="2"/>
        <v>69.63331633</v>
      </c>
      <c r="F28" s="4" t="b">
        <f t="shared" si="3"/>
        <v>1</v>
      </c>
    </row>
    <row r="29">
      <c r="A29" s="4" t="s">
        <v>33</v>
      </c>
      <c r="B29" s="5">
        <v>166970.0</v>
      </c>
      <c r="C29" s="5">
        <v>374079.0</v>
      </c>
      <c r="D29" s="5">
        <f t="shared" si="1"/>
        <v>541049</v>
      </c>
      <c r="E29" s="6">
        <f t="shared" si="2"/>
        <v>69.13957886</v>
      </c>
      <c r="F29" s="4" t="b">
        <f t="shared" si="3"/>
        <v>1</v>
      </c>
    </row>
    <row r="30">
      <c r="A30" s="4" t="s">
        <v>34</v>
      </c>
      <c r="B30" s="5">
        <v>151333.0</v>
      </c>
      <c r="C30" s="5">
        <v>330282.0</v>
      </c>
      <c r="D30" s="5">
        <f t="shared" si="1"/>
        <v>481615</v>
      </c>
      <c r="E30" s="6">
        <f t="shared" si="2"/>
        <v>68.57801356</v>
      </c>
      <c r="F30" s="4" t="b">
        <f t="shared" si="3"/>
        <v>1</v>
      </c>
    </row>
    <row r="31">
      <c r="A31" s="4" t="s">
        <v>35</v>
      </c>
      <c r="B31" s="5">
        <v>91817.0</v>
      </c>
      <c r="C31" s="5">
        <v>199499.0</v>
      </c>
      <c r="D31" s="5">
        <f t="shared" si="1"/>
        <v>291316</v>
      </c>
      <c r="E31" s="6">
        <f t="shared" si="2"/>
        <v>68.48199206</v>
      </c>
      <c r="F31" s="4" t="b">
        <f t="shared" si="3"/>
        <v>1</v>
      </c>
    </row>
    <row r="32">
      <c r="A32" s="4" t="s">
        <v>36</v>
      </c>
      <c r="B32" s="5">
        <v>65719.0</v>
      </c>
      <c r="C32" s="5">
        <v>139888.0</v>
      </c>
      <c r="D32" s="5">
        <f t="shared" si="1"/>
        <v>205607</v>
      </c>
      <c r="E32" s="6">
        <f t="shared" si="2"/>
        <v>68.03659408</v>
      </c>
      <c r="F32" s="4" t="b">
        <f t="shared" si="3"/>
        <v>1</v>
      </c>
    </row>
    <row r="33">
      <c r="A33" s="4" t="s">
        <v>37</v>
      </c>
      <c r="B33" s="5">
        <v>89671.0</v>
      </c>
      <c r="C33" s="5">
        <v>187961.0</v>
      </c>
      <c r="D33" s="5">
        <f t="shared" si="1"/>
        <v>277632</v>
      </c>
      <c r="E33" s="6">
        <f t="shared" si="2"/>
        <v>67.70148974</v>
      </c>
      <c r="F33" s="4" t="b">
        <f t="shared" si="3"/>
        <v>1</v>
      </c>
    </row>
    <row r="34">
      <c r="A34" s="4" t="s">
        <v>38</v>
      </c>
      <c r="B34" s="5">
        <v>159311.0</v>
      </c>
      <c r="C34" s="5">
        <v>333150.0</v>
      </c>
      <c r="D34" s="5">
        <f t="shared" si="1"/>
        <v>492461</v>
      </c>
      <c r="E34" s="6">
        <f t="shared" si="2"/>
        <v>67.65002711</v>
      </c>
      <c r="F34" s="4" t="b">
        <f t="shared" si="3"/>
        <v>1</v>
      </c>
    </row>
    <row r="35">
      <c r="A35" s="4" t="s">
        <v>39</v>
      </c>
      <c r="B35" s="5">
        <v>91830.0</v>
      </c>
      <c r="C35" s="5">
        <v>191369.0</v>
      </c>
      <c r="D35" s="5">
        <f t="shared" si="1"/>
        <v>283199</v>
      </c>
      <c r="E35" s="6">
        <f t="shared" si="2"/>
        <v>67.57403804</v>
      </c>
      <c r="F35" s="4" t="b">
        <f t="shared" si="3"/>
        <v>1</v>
      </c>
    </row>
    <row r="36">
      <c r="A36" s="4" t="s">
        <v>40</v>
      </c>
      <c r="B36" s="5">
        <v>158591.0</v>
      </c>
      <c r="C36" s="5">
        <v>320750.0</v>
      </c>
      <c r="D36" s="5">
        <f t="shared" si="1"/>
        <v>479341</v>
      </c>
      <c r="E36" s="6">
        <f t="shared" si="2"/>
        <v>66.91478509</v>
      </c>
      <c r="F36" s="4" t="b">
        <f t="shared" si="3"/>
        <v>1</v>
      </c>
    </row>
    <row r="37">
      <c r="A37" s="4" t="s">
        <v>41</v>
      </c>
      <c r="B37" s="5">
        <v>282086.0</v>
      </c>
      <c r="C37" s="5">
        <v>566088.0</v>
      </c>
      <c r="D37" s="5">
        <f t="shared" si="1"/>
        <v>848174</v>
      </c>
      <c r="E37" s="6">
        <f t="shared" si="2"/>
        <v>66.74196568</v>
      </c>
      <c r="F37" s="4" t="b">
        <f t="shared" si="3"/>
        <v>1</v>
      </c>
    </row>
    <row r="38">
      <c r="A38" s="4" t="s">
        <v>42</v>
      </c>
      <c r="B38" s="5">
        <v>59484.0</v>
      </c>
      <c r="C38" s="5">
        <v>119187.0</v>
      </c>
      <c r="D38" s="5">
        <f t="shared" si="1"/>
        <v>178671</v>
      </c>
      <c r="E38" s="6">
        <f t="shared" si="2"/>
        <v>66.70752388</v>
      </c>
      <c r="F38" s="4" t="b">
        <f t="shared" si="3"/>
        <v>1</v>
      </c>
    </row>
    <row r="39">
      <c r="A39" s="4" t="s">
        <v>43</v>
      </c>
      <c r="B39" s="5">
        <v>128480.0</v>
      </c>
      <c r="C39" s="5">
        <v>246158.0</v>
      </c>
      <c r="D39" s="5">
        <f t="shared" si="1"/>
        <v>374638</v>
      </c>
      <c r="E39" s="6">
        <f t="shared" si="2"/>
        <v>65.7055611</v>
      </c>
      <c r="F39" s="4" t="b">
        <f t="shared" si="3"/>
        <v>1</v>
      </c>
    </row>
    <row r="40">
      <c r="A40" s="4" t="s">
        <v>44</v>
      </c>
      <c r="B40" s="5">
        <v>129479.0</v>
      </c>
      <c r="C40" s="5">
        <v>241051.0</v>
      </c>
      <c r="D40" s="5">
        <f t="shared" si="1"/>
        <v>370530</v>
      </c>
      <c r="E40" s="6">
        <f t="shared" si="2"/>
        <v>65.05573098</v>
      </c>
      <c r="F40" s="4" t="b">
        <f t="shared" si="3"/>
        <v>1</v>
      </c>
    </row>
    <row r="41">
      <c r="A41" s="4" t="s">
        <v>45</v>
      </c>
      <c r="B41" s="5">
        <v>160806.0</v>
      </c>
      <c r="C41" s="5">
        <v>299367.0</v>
      </c>
      <c r="D41" s="5">
        <f t="shared" si="1"/>
        <v>460173</v>
      </c>
      <c r="E41" s="6">
        <f t="shared" si="2"/>
        <v>65.05531615</v>
      </c>
      <c r="F41" s="4" t="b">
        <f t="shared" si="3"/>
        <v>1</v>
      </c>
    </row>
    <row r="42">
      <c r="A42" s="4" t="s">
        <v>46</v>
      </c>
      <c r="B42" s="5">
        <v>130275.0</v>
      </c>
      <c r="C42" s="5">
        <v>241416.0</v>
      </c>
      <c r="D42" s="5">
        <f t="shared" si="1"/>
        <v>371691</v>
      </c>
      <c r="E42" s="6">
        <f t="shared" si="2"/>
        <v>64.9507252</v>
      </c>
      <c r="F42" s="4" t="b">
        <f t="shared" si="3"/>
        <v>1</v>
      </c>
    </row>
    <row r="43">
      <c r="A43" s="4" t="s">
        <v>47</v>
      </c>
      <c r="B43" s="5">
        <v>54961.0</v>
      </c>
      <c r="C43" s="5">
        <v>97976.0</v>
      </c>
      <c r="D43" s="5">
        <f t="shared" si="1"/>
        <v>152937</v>
      </c>
      <c r="E43" s="6">
        <f t="shared" si="2"/>
        <v>64.06298018</v>
      </c>
      <c r="F43" s="4" t="b">
        <f t="shared" si="3"/>
        <v>1</v>
      </c>
    </row>
    <row r="44">
      <c r="A44" s="4" t="s">
        <v>48</v>
      </c>
      <c r="B44" s="5">
        <v>55779.0</v>
      </c>
      <c r="C44" s="5">
        <v>96855.0</v>
      </c>
      <c r="D44" s="5">
        <f t="shared" si="1"/>
        <v>152634</v>
      </c>
      <c r="E44" s="6">
        <f t="shared" si="2"/>
        <v>63.4557176</v>
      </c>
      <c r="F44" s="4" t="b">
        <f t="shared" si="3"/>
        <v>1</v>
      </c>
    </row>
    <row r="45">
      <c r="A45" s="4" t="s">
        <v>49</v>
      </c>
      <c r="B45" s="5">
        <v>83203.0</v>
      </c>
      <c r="C45" s="5">
        <v>140939.0</v>
      </c>
      <c r="D45" s="5">
        <f t="shared" si="1"/>
        <v>224142</v>
      </c>
      <c r="E45" s="6">
        <f t="shared" si="2"/>
        <v>62.87933542</v>
      </c>
      <c r="F45" s="4" t="b">
        <f t="shared" si="3"/>
        <v>1</v>
      </c>
    </row>
    <row r="46">
      <c r="A46" s="4" t="s">
        <v>50</v>
      </c>
      <c r="B46" s="5">
        <v>389735.0</v>
      </c>
      <c r="C46" s="5">
        <v>643981.0</v>
      </c>
      <c r="D46" s="5">
        <f t="shared" si="1"/>
        <v>1033716</v>
      </c>
      <c r="E46" s="6">
        <f t="shared" si="2"/>
        <v>62.2976717</v>
      </c>
      <c r="F46" s="4" t="b">
        <f t="shared" si="3"/>
        <v>1</v>
      </c>
    </row>
    <row r="47">
      <c r="A47" s="4" t="s">
        <v>51</v>
      </c>
      <c r="B47" s="5">
        <v>92686.0</v>
      </c>
      <c r="C47" s="5">
        <v>148731.0</v>
      </c>
      <c r="D47" s="5">
        <f t="shared" si="1"/>
        <v>241417</v>
      </c>
      <c r="E47" s="6">
        <f t="shared" si="2"/>
        <v>61.607509</v>
      </c>
      <c r="F47" s="4" t="b">
        <f t="shared" si="3"/>
        <v>1</v>
      </c>
    </row>
    <row r="48">
      <c r="A48" s="4" t="s">
        <v>52</v>
      </c>
      <c r="B48" s="5">
        <v>66344.0</v>
      </c>
      <c r="C48" s="5">
        <v>104585.0</v>
      </c>
      <c r="D48" s="5">
        <f t="shared" si="1"/>
        <v>170929</v>
      </c>
      <c r="E48" s="6">
        <f t="shared" si="2"/>
        <v>61.18622352</v>
      </c>
      <c r="F48" s="4" t="b">
        <f t="shared" si="3"/>
        <v>1</v>
      </c>
    </row>
    <row r="49">
      <c r="A49" s="4" t="s">
        <v>53</v>
      </c>
      <c r="B49" s="5">
        <v>258333.0</v>
      </c>
      <c r="C49" s="5">
        <v>394407.0</v>
      </c>
      <c r="D49" s="5">
        <f t="shared" si="1"/>
        <v>652740</v>
      </c>
      <c r="E49" s="6">
        <f t="shared" si="2"/>
        <v>60.42329258</v>
      </c>
      <c r="F49" s="4" t="b">
        <f t="shared" si="3"/>
        <v>1</v>
      </c>
    </row>
    <row r="50">
      <c r="A50" s="4" t="s">
        <v>54</v>
      </c>
      <c r="B50" s="5">
        <v>79313.0</v>
      </c>
      <c r="C50" s="5">
        <v>116218.0</v>
      </c>
      <c r="D50" s="5">
        <f t="shared" si="1"/>
        <v>195531</v>
      </c>
      <c r="E50" s="6">
        <f t="shared" si="2"/>
        <v>59.4371225</v>
      </c>
      <c r="F50" s="4" t="b">
        <f t="shared" si="3"/>
        <v>1</v>
      </c>
    </row>
    <row r="51">
      <c r="A51" s="4" t="s">
        <v>55</v>
      </c>
      <c r="B51" s="5">
        <v>521244.0</v>
      </c>
      <c r="C51" s="5">
        <v>742194.0</v>
      </c>
      <c r="D51" s="5">
        <f t="shared" si="1"/>
        <v>1263438</v>
      </c>
      <c r="E51" s="6">
        <f t="shared" si="2"/>
        <v>58.74399852</v>
      </c>
      <c r="F51" s="4" t="b">
        <f t="shared" si="3"/>
        <v>1</v>
      </c>
    </row>
    <row r="52">
      <c r="A52" s="4" t="s">
        <v>56</v>
      </c>
      <c r="B52" s="5">
        <v>200905.0</v>
      </c>
      <c r="C52" s="5">
        <v>274327.0</v>
      </c>
      <c r="D52" s="5">
        <f t="shared" si="1"/>
        <v>475232</v>
      </c>
      <c r="E52" s="6">
        <f t="shared" si="2"/>
        <v>57.7248586</v>
      </c>
      <c r="F52" s="4" t="b">
        <f t="shared" si="3"/>
        <v>1</v>
      </c>
    </row>
    <row r="53">
      <c r="A53" s="4" t="s">
        <v>57</v>
      </c>
      <c r="B53" s="5">
        <v>72576.0</v>
      </c>
      <c r="C53" s="5">
        <v>97804.0</v>
      </c>
      <c r="D53" s="5">
        <f t="shared" si="1"/>
        <v>170380</v>
      </c>
      <c r="E53" s="6">
        <f t="shared" si="2"/>
        <v>57.40345111</v>
      </c>
      <c r="F53" s="4" t="b">
        <f t="shared" si="3"/>
        <v>1</v>
      </c>
    </row>
    <row r="54">
      <c r="A54" s="4" t="s">
        <v>58</v>
      </c>
      <c r="B54" s="5">
        <v>153196.0</v>
      </c>
      <c r="C54" s="5">
        <v>196262.0</v>
      </c>
      <c r="D54" s="5">
        <f t="shared" si="1"/>
        <v>349458</v>
      </c>
      <c r="E54" s="6">
        <f t="shared" si="2"/>
        <v>56.16182774</v>
      </c>
      <c r="F54" s="4" t="b">
        <f t="shared" si="3"/>
        <v>1</v>
      </c>
    </row>
    <row r="55">
      <c r="A55" s="4" t="s">
        <v>59</v>
      </c>
      <c r="B55" s="5">
        <v>130552.0</v>
      </c>
      <c r="C55" s="5">
        <v>162564.0</v>
      </c>
      <c r="D55" s="5">
        <f t="shared" si="1"/>
        <v>293116</v>
      </c>
      <c r="E55" s="6">
        <f t="shared" si="2"/>
        <v>55.46063674</v>
      </c>
      <c r="F55" s="4" t="b">
        <f t="shared" si="3"/>
        <v>1</v>
      </c>
    </row>
    <row r="56">
      <c r="A56" s="4" t="s">
        <v>60</v>
      </c>
      <c r="B56" s="5">
        <v>197316.0</v>
      </c>
      <c r="C56" s="5">
        <v>244676.0</v>
      </c>
      <c r="D56" s="5">
        <f t="shared" si="1"/>
        <v>441992</v>
      </c>
      <c r="E56" s="6">
        <f t="shared" si="2"/>
        <v>55.35756303</v>
      </c>
      <c r="F56" s="4" t="b">
        <f t="shared" si="3"/>
        <v>1</v>
      </c>
    </row>
    <row r="57">
      <c r="A57" s="4" t="s">
        <v>61</v>
      </c>
      <c r="B57" s="5">
        <v>426660.0</v>
      </c>
      <c r="C57" s="5">
        <v>482071.0</v>
      </c>
      <c r="D57" s="5">
        <f t="shared" si="1"/>
        <v>908731</v>
      </c>
      <c r="E57" s="6">
        <f t="shared" si="2"/>
        <v>53.04881202</v>
      </c>
      <c r="F57" s="4" t="b">
        <f t="shared" si="3"/>
        <v>1</v>
      </c>
    </row>
    <row r="58">
      <c r="A58" s="4" t="s">
        <v>62</v>
      </c>
      <c r="B58" s="5">
        <v>59796.0</v>
      </c>
      <c r="C58" s="5">
        <v>65921.0</v>
      </c>
      <c r="D58" s="5">
        <f t="shared" si="1"/>
        <v>125717</v>
      </c>
      <c r="E58" s="6">
        <f t="shared" si="2"/>
        <v>52.43602695</v>
      </c>
      <c r="F58" s="4" t="b">
        <f t="shared" si="3"/>
        <v>1</v>
      </c>
    </row>
    <row r="59">
      <c r="A59" s="4" t="s">
        <v>63</v>
      </c>
      <c r="B59" s="5">
        <v>229251.0</v>
      </c>
      <c r="C59" s="5">
        <v>236041.0</v>
      </c>
      <c r="D59" s="5">
        <f t="shared" si="1"/>
        <v>465292</v>
      </c>
      <c r="E59" s="6">
        <f t="shared" si="2"/>
        <v>50.72964934</v>
      </c>
      <c r="F59" s="4" t="b">
        <f t="shared" si="3"/>
        <v>1</v>
      </c>
    </row>
    <row r="60">
      <c r="A60" s="4" t="s">
        <v>64</v>
      </c>
      <c r="B60" s="5">
        <v>139809.0</v>
      </c>
      <c r="C60" s="5">
        <v>136854.0</v>
      </c>
      <c r="D60" s="5">
        <f t="shared" si="1"/>
        <v>276663</v>
      </c>
      <c r="E60" s="6">
        <f t="shared" si="2"/>
        <v>49.46595678</v>
      </c>
      <c r="F60" s="4" t="b">
        <f t="shared" si="3"/>
        <v>0</v>
      </c>
    </row>
    <row r="61">
      <c r="A61" s="4" t="s">
        <v>65</v>
      </c>
      <c r="B61" s="5">
        <v>52115.0</v>
      </c>
      <c r="C61" s="5">
        <v>50277.0</v>
      </c>
      <c r="D61" s="5">
        <f t="shared" si="1"/>
        <v>102392</v>
      </c>
      <c r="E61" s="6">
        <f t="shared" si="2"/>
        <v>49.10246894</v>
      </c>
      <c r="F61" s="4" t="b">
        <f t="shared" si="3"/>
        <v>0</v>
      </c>
    </row>
    <row r="62">
      <c r="A62" s="4" t="s">
        <v>66</v>
      </c>
      <c r="B62" s="5">
        <v>65436.0</v>
      </c>
      <c r="C62" s="5">
        <v>61071.0</v>
      </c>
      <c r="D62" s="5">
        <f t="shared" si="1"/>
        <v>126507</v>
      </c>
      <c r="E62" s="6">
        <f t="shared" si="2"/>
        <v>48.27479902</v>
      </c>
      <c r="F62" s="4" t="b">
        <f t="shared" si="3"/>
        <v>0</v>
      </c>
    </row>
    <row r="63">
      <c r="A63" s="4" t="s">
        <v>67</v>
      </c>
      <c r="B63" s="5">
        <v>182091.0</v>
      </c>
      <c r="C63" s="5">
        <v>157884.0</v>
      </c>
      <c r="D63" s="5">
        <f t="shared" si="1"/>
        <v>339975</v>
      </c>
      <c r="E63" s="6">
        <f t="shared" si="2"/>
        <v>46.43988529</v>
      </c>
      <c r="F63" s="4" t="b">
        <f t="shared" si="3"/>
        <v>0</v>
      </c>
    </row>
    <row r="64">
      <c r="A64" s="4" t="s">
        <v>68</v>
      </c>
      <c r="B64" s="5">
        <v>82932.0</v>
      </c>
      <c r="C64" s="5">
        <v>67370.0</v>
      </c>
      <c r="D64" s="5">
        <f t="shared" si="1"/>
        <v>150302</v>
      </c>
      <c r="E64" s="6">
        <f t="shared" si="2"/>
        <v>44.82308951</v>
      </c>
      <c r="F64" s="4" t="b">
        <f t="shared" si="3"/>
        <v>0</v>
      </c>
    </row>
    <row r="65">
      <c r="A65" s="4" t="s">
        <v>69</v>
      </c>
      <c r="B65" s="5">
        <v>56434.0</v>
      </c>
      <c r="C65" s="5">
        <v>45766.0</v>
      </c>
      <c r="D65" s="5">
        <f t="shared" si="1"/>
        <v>102200</v>
      </c>
      <c r="E65" s="6">
        <f t="shared" si="2"/>
        <v>44.78082192</v>
      </c>
      <c r="F65" s="4" t="b">
        <f t="shared" si="3"/>
        <v>0</v>
      </c>
    </row>
    <row r="66">
      <c r="A66" s="4" t="s">
        <v>70</v>
      </c>
      <c r="B66" s="5">
        <v>191984.0</v>
      </c>
      <c r="C66" s="5">
        <v>154669.0</v>
      </c>
      <c r="D66" s="5">
        <f t="shared" si="1"/>
        <v>346653</v>
      </c>
      <c r="E66" s="6">
        <f t="shared" si="2"/>
        <v>44.61781666</v>
      </c>
      <c r="F66" s="4" t="b">
        <f t="shared" si="3"/>
        <v>0</v>
      </c>
    </row>
    <row r="67">
      <c r="A67" s="4" t="s">
        <v>71</v>
      </c>
      <c r="B67" s="5">
        <v>513611.0</v>
      </c>
      <c r="C67" s="5">
        <v>364095.0</v>
      </c>
      <c r="D67" s="5">
        <f t="shared" si="1"/>
        <v>877706</v>
      </c>
      <c r="E67" s="6">
        <f t="shared" si="2"/>
        <v>41.48256933</v>
      </c>
      <c r="F67" s="4" t="b">
        <f t="shared" si="3"/>
        <v>0</v>
      </c>
    </row>
    <row r="68">
      <c r="A68" s="4" t="s">
        <v>72</v>
      </c>
      <c r="B68" s="5">
        <v>263157.0</v>
      </c>
      <c r="C68" s="5">
        <v>150147.0</v>
      </c>
      <c r="D68" s="5">
        <f t="shared" si="1"/>
        <v>413304</v>
      </c>
      <c r="E68" s="6">
        <f t="shared" si="2"/>
        <v>36.32846525</v>
      </c>
      <c r="F68" s="4" t="b">
        <f t="shared" si="3"/>
        <v>0</v>
      </c>
    </row>
    <row r="69">
      <c r="A69" s="4" t="s">
        <v>73</v>
      </c>
      <c r="B69" s="5">
        <v>252924.0</v>
      </c>
      <c r="C69" s="5">
        <v>141236.0</v>
      </c>
      <c r="D69" s="5">
        <f t="shared" si="1"/>
        <v>394160</v>
      </c>
      <c r="E69" s="6">
        <f t="shared" si="2"/>
        <v>35.83214938</v>
      </c>
      <c r="F69" s="4" t="b">
        <f t="shared" si="3"/>
        <v>0</v>
      </c>
    </row>
    <row r="70">
      <c r="A70" s="4" t="s">
        <v>74</v>
      </c>
      <c r="B70" s="5">
        <v>366679.0</v>
      </c>
      <c r="C70" s="5">
        <v>204127.0</v>
      </c>
      <c r="D70" s="5">
        <f t="shared" si="1"/>
        <v>570806</v>
      </c>
      <c r="E70" s="6">
        <f t="shared" si="2"/>
        <v>35.76118681</v>
      </c>
      <c r="F70" s="4" t="b">
        <f t="shared" si="3"/>
        <v>0</v>
      </c>
    </row>
    <row r="71">
      <c r="A71" s="4" t="s">
        <v>75</v>
      </c>
      <c r="B71" s="5">
        <v>231939.0</v>
      </c>
      <c r="C71" s="5">
        <v>120348.0</v>
      </c>
      <c r="D71" s="5">
        <f t="shared" si="1"/>
        <v>352287</v>
      </c>
      <c r="E71" s="6">
        <f t="shared" si="2"/>
        <v>34.16191912</v>
      </c>
      <c r="F71" s="4" t="b">
        <f t="shared" si="3"/>
        <v>0</v>
      </c>
    </row>
    <row r="72">
      <c r="A72" s="4" t="s">
        <v>76</v>
      </c>
      <c r="B72" s="5">
        <v>466612.0</v>
      </c>
      <c r="C72" s="5">
        <v>218135.0</v>
      </c>
      <c r="D72" s="5">
        <f t="shared" si="1"/>
        <v>684747</v>
      </c>
      <c r="E72" s="6">
        <f t="shared" si="2"/>
        <v>31.85629145</v>
      </c>
      <c r="F72" s="4" t="b">
        <f t="shared" si="3"/>
        <v>0</v>
      </c>
    </row>
    <row r="73">
      <c r="A73" s="4" t="s">
        <v>77</v>
      </c>
      <c r="B73" s="5">
        <v>844823.0</v>
      </c>
      <c r="C73" s="5">
        <v>362475.0</v>
      </c>
      <c r="D73" s="5">
        <f t="shared" si="1"/>
        <v>1207298</v>
      </c>
      <c r="E73" s="6">
        <f t="shared" si="2"/>
        <v>30.02365613</v>
      </c>
      <c r="F73" s="4" t="b">
        <f t="shared" si="3"/>
        <v>0</v>
      </c>
    </row>
    <row r="74">
      <c r="A74" s="4" t="s">
        <v>78</v>
      </c>
      <c r="B74" s="5">
        <v>366548.0</v>
      </c>
      <c r="C74" s="5">
        <v>154454.0</v>
      </c>
      <c r="D74" s="5">
        <f t="shared" si="1"/>
        <v>521002</v>
      </c>
      <c r="E74" s="6">
        <f t="shared" si="2"/>
        <v>29.64556758</v>
      </c>
      <c r="F74" s="4" t="b">
        <f t="shared" si="3"/>
        <v>0</v>
      </c>
    </row>
    <row r="75">
      <c r="A75" s="4" t="s">
        <v>79</v>
      </c>
      <c r="B75" s="5">
        <v>837011.0</v>
      </c>
      <c r="C75" s="5">
        <v>351478.0</v>
      </c>
      <c r="D75" s="5">
        <f t="shared" si="1"/>
        <v>1188489</v>
      </c>
      <c r="E75" s="6">
        <f t="shared" si="2"/>
        <v>29.5735173</v>
      </c>
      <c r="F75" s="4" t="b">
        <f t="shared" si="3"/>
        <v>0</v>
      </c>
    </row>
    <row r="76">
      <c r="A76" s="4" t="s">
        <v>80</v>
      </c>
      <c r="B76" s="5">
        <v>4185008.0</v>
      </c>
      <c r="C76" s="5">
        <v>1505229.0</v>
      </c>
      <c r="D76" s="5">
        <f t="shared" si="1"/>
        <v>5690237</v>
      </c>
      <c r="E76" s="6">
        <f t="shared" si="2"/>
        <v>26.45283492</v>
      </c>
      <c r="F76" s="4" t="b">
        <f t="shared" si="3"/>
        <v>0</v>
      </c>
    </row>
    <row r="77">
      <c r="A77" s="4" t="s">
        <v>81</v>
      </c>
      <c r="B77" s="5">
        <v>886911.0</v>
      </c>
      <c r="C77" s="5">
        <v>317098.0</v>
      </c>
      <c r="D77" s="5">
        <f t="shared" si="1"/>
        <v>1204009</v>
      </c>
      <c r="E77" s="6">
        <f t="shared" si="2"/>
        <v>26.33684632</v>
      </c>
      <c r="F77" s="4" t="b">
        <f t="shared" si="3"/>
        <v>0</v>
      </c>
    </row>
    <row r="78">
      <c r="A78" s="4" t="s">
        <v>82</v>
      </c>
      <c r="B78" s="5">
        <v>628517.0</v>
      </c>
      <c r="C78" s="5">
        <v>174829.0</v>
      </c>
      <c r="D78" s="5">
        <f t="shared" si="1"/>
        <v>803346</v>
      </c>
      <c r="E78" s="6">
        <f t="shared" si="2"/>
        <v>21.76260291</v>
      </c>
      <c r="F78" s="4" t="b">
        <f t="shared" si="3"/>
        <v>0</v>
      </c>
    </row>
    <row r="79">
      <c r="A79" s="4" t="s">
        <v>83</v>
      </c>
      <c r="B79" s="5">
        <v>1194879.0</v>
      </c>
      <c r="C79" s="5">
        <v>301007.0</v>
      </c>
      <c r="D79" s="5">
        <f t="shared" si="1"/>
        <v>1495886</v>
      </c>
      <c r="E79" s="6">
        <f t="shared" si="2"/>
        <v>20.12232216</v>
      </c>
      <c r="F79" s="4" t="b">
        <f t="shared" si="3"/>
        <v>0</v>
      </c>
    </row>
  </sheetData>
  <autoFilter ref="$A$2:$F$79">
    <sortState ref="A2:F79">
      <sortCondition descending="1" ref="E2:E79"/>
      <sortCondition descending="1" ref="D2:D79"/>
    </sortState>
  </autoFilter>
  <mergeCells count="1">
    <mergeCell ref="A1:F1"/>
  </mergeCells>
  <drawing r:id="rId1"/>
</worksheet>
</file>